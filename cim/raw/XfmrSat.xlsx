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rc\emthub\cim\raw\"/>
    </mc:Choice>
  </mc:AlternateContent>
  <xr:revisionPtr revIDLastSave="0" documentId="13_ncr:1_{3B111EA4-60AF-4379-9668-D28C5C485AE3}" xr6:coauthVersionLast="47" xr6:coauthVersionMax="47" xr10:uidLastSave="{00000000-0000-0000-0000-000000000000}"/>
  <bookViews>
    <workbookView xWindow="6900" yWindow="1480" windowWidth="23500" windowHeight="19160" xr2:uid="{57A74BFE-98E6-4162-8EA1-6CBD6A5611BD}"/>
  </bookViews>
  <sheets>
    <sheet name="Sheet1" sheetId="1" r:id="rId1"/>
  </sheets>
  <definedNames>
    <definedName name="kVbase">Sheet1!$B$2</definedName>
    <definedName name="LineLength">Sheet1!$B$6</definedName>
    <definedName name="MVAbase">Sheet1!$B$1</definedName>
    <definedName name="Omega">Sheet1!$B$4</definedName>
    <definedName name="Zbase">Sheet1!$B$3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B27" i="1" s="1"/>
  <c r="B35" i="1" s="1"/>
  <c r="B23" i="1"/>
  <c r="B34" i="1" s="1"/>
  <c r="B19" i="1"/>
  <c r="B16" i="1"/>
  <c r="B22" i="1" s="1"/>
  <c r="B26" i="1" s="1"/>
  <c r="B32" i="1" s="1"/>
  <c r="B18" i="1"/>
  <c r="B15" i="1"/>
  <c r="B21" i="1" s="1"/>
  <c r="B17" i="1"/>
  <c r="B33" i="1" s="1"/>
  <c r="B14" i="1"/>
  <c r="B30" i="1" s="1"/>
  <c r="B3" i="1"/>
  <c r="B31" i="1" l="1"/>
  <c r="B37" i="1"/>
</calcChain>
</file>

<file path=xl/sharedStrings.xml><?xml version="1.0" encoding="utf-8"?>
<sst xmlns="http://schemas.openxmlformats.org/spreadsheetml/2006/main" count="37" uniqueCount="37">
  <si>
    <t>Line Data</t>
  </si>
  <si>
    <t>Length</t>
  </si>
  <si>
    <t>MVA base</t>
  </si>
  <si>
    <t>kV base</t>
  </si>
  <si>
    <t>Zbase</t>
  </si>
  <si>
    <t>r1p</t>
  </si>
  <si>
    <t>z1</t>
  </si>
  <si>
    <t>v1</t>
  </si>
  <si>
    <t>r0p</t>
  </si>
  <si>
    <t>z0</t>
  </si>
  <si>
    <t>v0</t>
  </si>
  <si>
    <t>r1</t>
  </si>
  <si>
    <t>r0</t>
  </si>
  <si>
    <t>x0</t>
  </si>
  <si>
    <t>r1pu</t>
  </si>
  <si>
    <t>x1pu</t>
  </si>
  <si>
    <t>b1pu</t>
  </si>
  <si>
    <t>r0pu</t>
  </si>
  <si>
    <t>x0pu</t>
  </si>
  <si>
    <t>b0pu</t>
  </si>
  <si>
    <t>Xfmr Data</t>
  </si>
  <si>
    <t>l1p</t>
  </si>
  <si>
    <t>c1p</t>
  </si>
  <si>
    <t>l0p</t>
  </si>
  <si>
    <t>c0p</t>
  </si>
  <si>
    <t>x1</t>
  </si>
  <si>
    <t>b1</t>
  </si>
  <si>
    <t>b0</t>
  </si>
  <si>
    <t>Omega</t>
  </si>
  <si>
    <t>B1</t>
  </si>
  <si>
    <t>B0</t>
  </si>
  <si>
    <t>x1/mile</t>
  </si>
  <si>
    <t>MVA</t>
  </si>
  <si>
    <t>Xt</t>
  </si>
  <si>
    <t>Imag</t>
  </si>
  <si>
    <t>PNLL</t>
  </si>
  <si>
    <t>PLL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</si>
</sst>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2" borderId="0" xfId="0" applyFill="1"/>
    <xf numFmtId="1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2C513-7C2F-4558-A3C3-BB25F9E6C46B}">
  <dimension ref="A1:E37"/>
  <sheetViews>
    <sheetView tabSelected="1" workbookViewId="0">
      <selection activeCell="B11" sqref="B11"/>
    </sheetView>
  </sheetViews>
  <sheetFormatPr defaultRowHeight="14.5" x14ac:dyDescent="0.35"/>
  <sheetData>
    <row r="1" spans="1:5" x14ac:dyDescent="0.35">
      <c r="A1" t="s">
        <v>2</v>
      </c>
      <c r="B1">
        <v>100</v>
      </c>
    </row>
    <row r="2" spans="1:5" x14ac:dyDescent="0.35">
      <c r="A2" t="s">
        <v>3</v>
      </c>
      <c r="B2">
        <v>345</v>
      </c>
    </row>
    <row r="3" spans="1:5" x14ac:dyDescent="0.35">
      <c r="A3" t="s">
        <v>4</v>
      </c>
      <c r="B3">
        <f>B2*B2/B1</f>
        <v>1190.25</v>
      </c>
    </row>
    <row r="4" spans="1:5" x14ac:dyDescent="0.35">
      <c r="A4" t="s">
        <v>28</v>
      </c>
      <c r="B4">
        <v>377</v>
      </c>
    </row>
    <row r="5" spans="1:5" x14ac:dyDescent="0.35">
      <c r="A5" s="2" t="s">
        <v>0</v>
      </c>
      <c r="D5" s="2" t="s">
        <v>20</v>
      </c>
    </row>
    <row r="6" spans="1:5" x14ac:dyDescent="0.35">
      <c r="A6" t="s">
        <v>1</v>
      </c>
      <c r="B6" s="1">
        <v>500000</v>
      </c>
      <c r="D6" t="s">
        <v>32</v>
      </c>
      <c r="E6">
        <v>500</v>
      </c>
    </row>
    <row r="7" spans="1:5" x14ac:dyDescent="0.35">
      <c r="A7" t="s">
        <v>5</v>
      </c>
      <c r="B7">
        <v>4.0000000000000003E-5</v>
      </c>
      <c r="D7" t="s">
        <v>33</v>
      </c>
      <c r="E7">
        <v>0.08</v>
      </c>
    </row>
    <row r="8" spans="1:5" x14ac:dyDescent="0.35">
      <c r="A8" t="s">
        <v>6</v>
      </c>
      <c r="B8">
        <v>300</v>
      </c>
      <c r="D8" t="s">
        <v>34</v>
      </c>
      <c r="E8">
        <v>0.01</v>
      </c>
    </row>
    <row r="9" spans="1:5" x14ac:dyDescent="0.35">
      <c r="A9" t="s">
        <v>7</v>
      </c>
      <c r="B9" s="1">
        <v>300000000</v>
      </c>
      <c r="D9" t="s">
        <v>35</v>
      </c>
      <c r="E9">
        <v>5.0000000000000001E-3</v>
      </c>
    </row>
    <row r="10" spans="1:5" x14ac:dyDescent="0.35">
      <c r="A10" t="s">
        <v>8</v>
      </c>
      <c r="B10">
        <v>8.0000000000000007E-5</v>
      </c>
      <c r="D10" t="s">
        <v>36</v>
      </c>
      <c r="E10">
        <v>0.01</v>
      </c>
    </row>
    <row r="11" spans="1:5" x14ac:dyDescent="0.35">
      <c r="A11" t="s">
        <v>9</v>
      </c>
      <c r="B11">
        <v>800</v>
      </c>
    </row>
    <row r="12" spans="1:5" x14ac:dyDescent="0.35">
      <c r="A12" t="s">
        <v>10</v>
      </c>
      <c r="B12" s="1">
        <v>200000000</v>
      </c>
    </row>
    <row r="14" spans="1:5" x14ac:dyDescent="0.35">
      <c r="A14" t="s">
        <v>11</v>
      </c>
      <c r="B14">
        <f>B7*LineLength</f>
        <v>20</v>
      </c>
    </row>
    <row r="15" spans="1:5" x14ac:dyDescent="0.35">
      <c r="A15" t="s">
        <v>21</v>
      </c>
      <c r="B15" s="1">
        <f>B8/B9</f>
        <v>9.9999999999999995E-7</v>
      </c>
    </row>
    <row r="16" spans="1:5" x14ac:dyDescent="0.35">
      <c r="A16" t="s">
        <v>22</v>
      </c>
      <c r="B16" s="1">
        <f>1/B8/B9</f>
        <v>1.1111111111111113E-11</v>
      </c>
    </row>
    <row r="17" spans="1:2" x14ac:dyDescent="0.35">
      <c r="A17" t="s">
        <v>12</v>
      </c>
      <c r="B17">
        <f>B10*LineLength</f>
        <v>40</v>
      </c>
    </row>
    <row r="18" spans="1:2" x14ac:dyDescent="0.35">
      <c r="A18" t="s">
        <v>23</v>
      </c>
      <c r="B18" s="1">
        <f>B11/B12</f>
        <v>3.9999999999999998E-6</v>
      </c>
    </row>
    <row r="19" spans="1:2" x14ac:dyDescent="0.35">
      <c r="A19" t="s">
        <v>24</v>
      </c>
      <c r="B19" s="1">
        <f>1/B11/B12</f>
        <v>6.2500000000000002E-12</v>
      </c>
    </row>
    <row r="21" spans="1:2" x14ac:dyDescent="0.35">
      <c r="A21" t="s">
        <v>25</v>
      </c>
      <c r="B21">
        <f>B15*Omega*LineLength</f>
        <v>188.5</v>
      </c>
    </row>
    <row r="22" spans="1:2" x14ac:dyDescent="0.35">
      <c r="A22" t="s">
        <v>26</v>
      </c>
      <c r="B22" s="1">
        <f>B16*Omega*LineLength</f>
        <v>2.0944444444444448E-3</v>
      </c>
    </row>
    <row r="23" spans="1:2" x14ac:dyDescent="0.35">
      <c r="A23" t="s">
        <v>13</v>
      </c>
      <c r="B23" s="1">
        <f>B18*Omega*LineLength</f>
        <v>754</v>
      </c>
    </row>
    <row r="24" spans="1:2" x14ac:dyDescent="0.35">
      <c r="A24" t="s">
        <v>27</v>
      </c>
      <c r="B24" s="1">
        <f>B19*Omega*LineLength</f>
        <v>1.1781249999999999E-3</v>
      </c>
    </row>
    <row r="26" spans="1:2" x14ac:dyDescent="0.35">
      <c r="A26" t="s">
        <v>29</v>
      </c>
      <c r="B26" s="1">
        <f>kVbase*kVbase*B22</f>
        <v>249.29125000000005</v>
      </c>
    </row>
    <row r="27" spans="1:2" x14ac:dyDescent="0.35">
      <c r="A27" t="s">
        <v>30</v>
      </c>
      <c r="B27" s="1">
        <f>kVbase*kVbase*B24</f>
        <v>140.22632812499998</v>
      </c>
    </row>
    <row r="30" spans="1:2" x14ac:dyDescent="0.35">
      <c r="A30" t="s">
        <v>14</v>
      </c>
      <c r="B30" s="3">
        <f>B14/Zbase</f>
        <v>1.6803192606595255E-2</v>
      </c>
    </row>
    <row r="31" spans="1:2" x14ac:dyDescent="0.35">
      <c r="A31" t="s">
        <v>15</v>
      </c>
      <c r="B31" s="3">
        <f>B21/Zbase</f>
        <v>0.15837009031716026</v>
      </c>
    </row>
    <row r="32" spans="1:2" x14ac:dyDescent="0.35">
      <c r="A32" t="s">
        <v>16</v>
      </c>
      <c r="B32" s="4">
        <f>B26/MVAbase</f>
        <v>2.4929125000000005</v>
      </c>
    </row>
    <row r="33" spans="1:2" x14ac:dyDescent="0.35">
      <c r="A33" t="s">
        <v>17</v>
      </c>
      <c r="B33">
        <f>B17/Zbase</f>
        <v>3.3606385213190509E-2</v>
      </c>
    </row>
    <row r="34" spans="1:2" x14ac:dyDescent="0.35">
      <c r="A34" t="s">
        <v>18</v>
      </c>
      <c r="B34" s="1">
        <f>B23/Zbase</f>
        <v>0.63348036126864105</v>
      </c>
    </row>
    <row r="35" spans="1:2" x14ac:dyDescent="0.35">
      <c r="A35" t="s">
        <v>19</v>
      </c>
      <c r="B35" s="1">
        <f>B27/MVAbase</f>
        <v>1.4022632812499998</v>
      </c>
    </row>
    <row r="37" spans="1:2" x14ac:dyDescent="0.35">
      <c r="A37" t="s">
        <v>31</v>
      </c>
      <c r="B37">
        <f>1609*B21/LineLength</f>
        <v>0.60659300000000005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Sheet1</vt:lpstr>
      <vt:lpstr>kVbase</vt:lpstr>
      <vt:lpstr>LineLength</vt:lpstr>
      <vt:lpstr>MVAbase</vt:lpstr>
      <vt:lpstr>Omega</vt:lpstr>
      <vt:lpstr>Zbase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McDermott</dc:creator>
  <cp:lastModifiedBy>Tom McDermott</cp:lastModifiedBy>
  <dcterms:created xsi:type="dcterms:W3CDTF">2025-12-08T21:33:25Z</dcterms:created>
  <dcterms:modified xsi:type="dcterms:W3CDTF">2025-12-10T04:51:59Z</dcterms:modified>
</cp:coreProperties>
</file>