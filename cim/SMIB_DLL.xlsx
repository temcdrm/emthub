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emthub\cim\"/>
    </mc:Choice>
  </mc:AlternateContent>
  <xr:revisionPtr revIDLastSave="0" documentId="13_ncr:1_{09970445-5B09-4554-B688-2AA4F15B8DDA}" xr6:coauthVersionLast="47" xr6:coauthVersionMax="47" xr10:uidLastSave="{00000000-0000-0000-0000-000000000000}"/>
  <bookViews>
    <workbookView xWindow="6010" yWindow="2970" windowWidth="34730" windowHeight="17430" xr2:uid="{9640B033-C380-4DFD-97E9-4E34BCF285EC}"/>
  </bookViews>
  <sheets>
    <sheet name="GridSide" sheetId="1" r:id="rId1"/>
    <sheet name="Collector" sheetId="2" r:id="rId2"/>
  </sheets>
  <definedNames>
    <definedName name="BaseMVA">GridSide!$B$8</definedName>
    <definedName name="GridKV">GridSide!$B$1</definedName>
    <definedName name="GridX">GridSide!$B$7</definedName>
    <definedName name="GridXR">GridSide!$B$10</definedName>
    <definedName name="IBRMVA">GridSide!$B$2</definedName>
    <definedName name="InfMVA">GridSide!$B$3</definedName>
    <definedName name="InfR">GridSide!$B$5</definedName>
    <definedName name="InfX">GridSide!$B$4</definedName>
    <definedName name="RawMVA">Collector!#REF!</definedName>
    <definedName name="SwitchedXR">GridSide!$B$10</definedName>
    <definedName name="XfmrXR">Collector!$B$2</definedName>
    <definedName name="Zbase0">GridSide!$B$6</definedName>
    <definedName name="Zbase1">GridSide!$B$9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C17" i="2"/>
  <c r="C16" i="2"/>
  <c r="C13" i="2"/>
  <c r="B12" i="2"/>
  <c r="B13" i="2" s="1"/>
  <c r="C7" i="2"/>
  <c r="B7" i="2"/>
  <c r="B9" i="1"/>
  <c r="B6" i="2"/>
  <c r="B6" i="1"/>
  <c r="B7" i="1" s="1"/>
  <c r="B10" i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D12" i="1" l="1"/>
  <c r="F12" i="1" s="1"/>
  <c r="E12" i="1" s="1"/>
  <c r="D13" i="1"/>
  <c r="F13" i="1" s="1"/>
  <c r="E13" i="1" s="1"/>
  <c r="D16" i="1"/>
  <c r="F16" i="1" s="1"/>
  <c r="E16" i="1" s="1"/>
  <c r="D18" i="1"/>
  <c r="F18" i="1" s="1"/>
  <c r="E18" i="1" s="1"/>
  <c r="D15" i="1"/>
  <c r="F15" i="1"/>
  <c r="E15" i="1" s="1"/>
  <c r="D14" i="1"/>
  <c r="F14" i="1" s="1"/>
  <c r="E14" i="1" s="1"/>
  <c r="D17" i="1"/>
  <c r="F17" i="1" s="1"/>
  <c r="E17" i="1" s="1"/>
</calcChain>
</file>

<file path=xl/sharedStrings.xml><?xml version="1.0" encoding="utf-8"?>
<sst xmlns="http://schemas.openxmlformats.org/spreadsheetml/2006/main" count="37" uniqueCount="32">
  <si>
    <t>Grid kV</t>
  </si>
  <si>
    <t>IBR MVA</t>
  </si>
  <si>
    <t>SCR</t>
  </si>
  <si>
    <t>RPA MVA</t>
  </si>
  <si>
    <t>Total X</t>
  </si>
  <si>
    <t>Switched X</t>
  </si>
  <si>
    <t>Grid X</t>
  </si>
  <si>
    <t>Base MVA</t>
  </si>
  <si>
    <t>Base Z</t>
  </si>
  <si>
    <t>Switched Xpu</t>
  </si>
  <si>
    <t>SwitchedXR</t>
  </si>
  <si>
    <t>Switched Rpu</t>
  </si>
  <si>
    <t>InfBus MVA</t>
  </si>
  <si>
    <t>InfBus Xpu</t>
  </si>
  <si>
    <t>InfBus Rpu</t>
  </si>
  <si>
    <t>InfBus Zbase</t>
  </si>
  <si>
    <t>(These italicized assumptions are embedded in the ATP netlisting code for a swing bus without machine data.)</t>
  </si>
  <si>
    <t xml:space="preserve">Based on review of https://ieeexplore.ieee.org/document/1708945 </t>
  </si>
  <si>
    <t>On Xfmr Base</t>
  </si>
  <si>
    <t>R</t>
  </si>
  <si>
    <t>X</t>
  </si>
  <si>
    <t>Transformer MVA</t>
  </si>
  <si>
    <t>Inverter Transformer (wye-wye)</t>
  </si>
  <si>
    <t>Transformer XR</t>
  </si>
  <si>
    <t>On System Base</t>
  </si>
  <si>
    <t>Plant Transformer (wye-wye)</t>
  </si>
  <si>
    <t>Collector Cables</t>
  </si>
  <si>
    <t>Xc [pu]</t>
  </si>
  <si>
    <t>Rc [pu]</t>
  </si>
  <si>
    <t>B [pu]</t>
  </si>
  <si>
    <t>IBR Base</t>
  </si>
  <si>
    <t>Raw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</si>
</sst>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0" borderId="0" xfId="0" applyAlignment="1">
      <alignment horizontal="right" indent="1"/>
    </xf>
    <xf numFmtId="166" fontId="0" fillId="0" borderId="0" xfId="0" applyNumberFormat="1"/>
    <xf numFmtId="0" fontId="1" fillId="0" borderId="0" xfId="0" applyFont="1" applyAlignment="1">
      <alignment horizontal="right" indent="1"/>
    </xf>
    <xf numFmtId="0" fontId="2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3E2B-8035-4D5E-B93D-032E711EF799}">
  <dimension ref="A1:F18"/>
  <sheetViews>
    <sheetView tabSelected="1" workbookViewId="0">
      <selection activeCell="B9" sqref="B9"/>
    </sheetView>
  </sheetViews>
  <sheetFormatPr defaultRowHeight="14.5" x14ac:dyDescent="0.35"/>
  <cols>
    <col min="1" max="1" width="10.6328125" customWidth="1"/>
    <col min="3" max="3" width="9.26953125" customWidth="1"/>
    <col min="4" max="4" width="13" customWidth="1"/>
    <col min="5" max="5" width="15.81640625" customWidth="1"/>
    <col min="6" max="6" width="17.26953125" customWidth="1"/>
  </cols>
  <sheetData>
    <row r="1" spans="1:6" x14ac:dyDescent="0.35">
      <c r="A1" t="s">
        <v>0</v>
      </c>
      <c r="B1">
        <v>230</v>
      </c>
    </row>
    <row r="2" spans="1:6" x14ac:dyDescent="0.35">
      <c r="A2" t="s">
        <v>1</v>
      </c>
      <c r="B2">
        <v>100</v>
      </c>
    </row>
    <row r="3" spans="1:6" x14ac:dyDescent="0.35">
      <c r="A3" s="5" t="s">
        <v>12</v>
      </c>
      <c r="B3">
        <v>1000</v>
      </c>
      <c r="D3" s="5" t="s">
        <v>16</v>
      </c>
    </row>
    <row r="4" spans="1:6" x14ac:dyDescent="0.35">
      <c r="A4" s="5" t="s">
        <v>13</v>
      </c>
      <c r="B4">
        <v>0.01</v>
      </c>
    </row>
    <row r="5" spans="1:6" x14ac:dyDescent="0.35">
      <c r="A5" s="5" t="s">
        <v>14</v>
      </c>
      <c r="B5">
        <v>1E-3</v>
      </c>
    </row>
    <row r="6" spans="1:6" x14ac:dyDescent="0.35">
      <c r="A6" t="s">
        <v>15</v>
      </c>
      <c r="B6">
        <f>GridKV*GridKV/InfMVA</f>
        <v>52.9</v>
      </c>
    </row>
    <row r="7" spans="1:6" x14ac:dyDescent="0.35">
      <c r="A7" t="s">
        <v>6</v>
      </c>
      <c r="B7">
        <f>InfX*Zbase0</f>
        <v>0.52900000000000003</v>
      </c>
    </row>
    <row r="8" spans="1:6" x14ac:dyDescent="0.35">
      <c r="A8" t="s">
        <v>7</v>
      </c>
      <c r="B8">
        <v>100</v>
      </c>
    </row>
    <row r="9" spans="1:6" x14ac:dyDescent="0.35">
      <c r="A9" t="s">
        <v>8</v>
      </c>
      <c r="B9">
        <f>GridKV*GridKV/BaseMVA</f>
        <v>529</v>
      </c>
    </row>
    <row r="10" spans="1:6" x14ac:dyDescent="0.35">
      <c r="A10" t="s">
        <v>10</v>
      </c>
      <c r="B10">
        <f>InfX/InfR</f>
        <v>10</v>
      </c>
    </row>
    <row r="11" spans="1:6" x14ac:dyDescent="0.35">
      <c r="A11" s="2" t="s">
        <v>2</v>
      </c>
      <c r="B11" s="2" t="s">
        <v>3</v>
      </c>
      <c r="C11" s="2" t="s">
        <v>4</v>
      </c>
      <c r="D11" s="2" t="s">
        <v>5</v>
      </c>
      <c r="E11" s="4" t="s">
        <v>11</v>
      </c>
      <c r="F11" s="4" t="s">
        <v>9</v>
      </c>
    </row>
    <row r="12" spans="1:6" x14ac:dyDescent="0.35">
      <c r="A12">
        <v>10</v>
      </c>
      <c r="B12">
        <f>IBRMVA*A12</f>
        <v>1000</v>
      </c>
      <c r="C12" s="1">
        <f>GridKV*GridKV/B12</f>
        <v>52.9</v>
      </c>
      <c r="D12" s="1">
        <f>C12-GridX</f>
        <v>52.370999999999995</v>
      </c>
      <c r="E12" s="3">
        <f>F12/SwitchedXR</f>
        <v>9.8999999999999991E-3</v>
      </c>
      <c r="F12" s="3">
        <f>D12/Zbase1</f>
        <v>9.8999999999999991E-2</v>
      </c>
    </row>
    <row r="13" spans="1:6" x14ac:dyDescent="0.35">
      <c r="A13">
        <v>5</v>
      </c>
      <c r="B13">
        <f>IBRMVA*A13</f>
        <v>500</v>
      </c>
      <c r="C13" s="1">
        <f>GridKV*GridKV/B13</f>
        <v>105.8</v>
      </c>
      <c r="D13" s="1">
        <f>C13-GridX</f>
        <v>105.271</v>
      </c>
      <c r="E13" s="3">
        <f>F13/SwitchedXR</f>
        <v>1.9900000000000001E-2</v>
      </c>
      <c r="F13" s="3">
        <f>D13/Zbase1</f>
        <v>0.19900000000000001</v>
      </c>
    </row>
    <row r="14" spans="1:6" x14ac:dyDescent="0.35">
      <c r="A14">
        <v>4</v>
      </c>
      <c r="B14">
        <f>IBRMVA*A14</f>
        <v>400</v>
      </c>
      <c r="C14" s="1">
        <f>GridKV*GridKV/B14</f>
        <v>132.25</v>
      </c>
      <c r="D14" s="1">
        <f>C14-GridX</f>
        <v>131.721</v>
      </c>
      <c r="E14" s="3">
        <f>F14/SwitchedXR</f>
        <v>2.4899999999999999E-2</v>
      </c>
      <c r="F14" s="3">
        <f>D14/Zbase1</f>
        <v>0.249</v>
      </c>
    </row>
    <row r="15" spans="1:6" x14ac:dyDescent="0.35">
      <c r="A15">
        <v>3</v>
      </c>
      <c r="B15">
        <f>IBRMVA*A15</f>
        <v>300</v>
      </c>
      <c r="C15" s="1">
        <f>GridKV*GridKV/B15</f>
        <v>176.33333333333334</v>
      </c>
      <c r="D15" s="1">
        <f>C15-GridX</f>
        <v>175.80433333333335</v>
      </c>
      <c r="E15" s="3">
        <f>F15/SwitchedXR</f>
        <v>3.3233333333333337E-2</v>
      </c>
      <c r="F15" s="3">
        <f>D15/Zbase1</f>
        <v>0.33233333333333337</v>
      </c>
    </row>
    <row r="16" spans="1:6" x14ac:dyDescent="0.35">
      <c r="A16">
        <v>2.5</v>
      </c>
      <c r="B16">
        <f>IBRMVA*A16</f>
        <v>250</v>
      </c>
      <c r="C16" s="1">
        <f>GridKV*GridKV/B16</f>
        <v>211.6</v>
      </c>
      <c r="D16" s="1">
        <f>C16-GridX</f>
        <v>211.071</v>
      </c>
      <c r="E16" s="3">
        <f>F16/SwitchedXR</f>
        <v>3.9900000000000005E-2</v>
      </c>
      <c r="F16" s="3">
        <f>D16/Zbase1</f>
        <v>0.39900000000000002</v>
      </c>
    </row>
    <row r="17" spans="1:6" x14ac:dyDescent="0.35">
      <c r="A17">
        <v>2</v>
      </c>
      <c r="B17">
        <f>IBRMVA*A17</f>
        <v>200</v>
      </c>
      <c r="C17" s="1">
        <f>GridKV*GridKV/B17</f>
        <v>264.5</v>
      </c>
      <c r="D17" s="1">
        <f>C17-GridX</f>
        <v>263.971</v>
      </c>
      <c r="E17" s="3">
        <f>F17/SwitchedXR</f>
        <v>4.99E-2</v>
      </c>
      <c r="F17" s="3">
        <f>D17/Zbase1</f>
        <v>0.499</v>
      </c>
    </row>
    <row r="18" spans="1:6" x14ac:dyDescent="0.35">
      <c r="A18">
        <v>1.5</v>
      </c>
      <c r="B18">
        <f>IBRMVA*A18</f>
        <v>150</v>
      </c>
      <c r="C18" s="1">
        <f>GridKV*GridKV/B18</f>
        <v>352.66666666666669</v>
      </c>
      <c r="D18" s="1">
        <f>C18-GridX</f>
        <v>352.13766666666669</v>
      </c>
      <c r="E18" s="3">
        <f>F18/SwitchedXR</f>
        <v>6.6566666666666677E-2</v>
      </c>
      <c r="F18" s="3">
        <f>D18/Zbase1</f>
        <v>0.66566666666666674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50E6-0764-4A19-98DB-1F44C29EA6DA}">
  <dimension ref="A1:C18"/>
  <sheetViews>
    <sheetView workbookViewId="0">
      <selection activeCell="C19" sqref="C19"/>
    </sheetView>
  </sheetViews>
  <sheetFormatPr defaultRowHeight="14.5" x14ac:dyDescent="0.35"/>
  <cols>
    <col min="1" max="1" width="16.81640625" customWidth="1"/>
  </cols>
  <sheetData>
    <row r="1" spans="1:3" x14ac:dyDescent="0.35">
      <c r="A1" t="s">
        <v>17</v>
      </c>
    </row>
    <row r="2" spans="1:3" x14ac:dyDescent="0.35">
      <c r="A2" t="s">
        <v>23</v>
      </c>
      <c r="B2">
        <v>8</v>
      </c>
    </row>
    <row r="3" spans="1:3" x14ac:dyDescent="0.35">
      <c r="A3" s="8" t="s">
        <v>22</v>
      </c>
    </row>
    <row r="4" spans="1:3" x14ac:dyDescent="0.35">
      <c r="A4" t="s">
        <v>21</v>
      </c>
      <c r="B4">
        <v>120</v>
      </c>
    </row>
    <row r="5" spans="1:3" x14ac:dyDescent="0.35">
      <c r="B5" s="6" t="s">
        <v>19</v>
      </c>
      <c r="C5" s="6" t="s">
        <v>20</v>
      </c>
    </row>
    <row r="6" spans="1:3" x14ac:dyDescent="0.35">
      <c r="A6" t="s">
        <v>18</v>
      </c>
      <c r="B6" s="3">
        <f>C6/XfmrXR</f>
        <v>3.1250000000000002E-3</v>
      </c>
      <c r="C6" s="7">
        <v>2.5000000000000001E-2</v>
      </c>
    </row>
    <row r="7" spans="1:3" x14ac:dyDescent="0.35">
      <c r="A7" t="s">
        <v>24</v>
      </c>
      <c r="B7" s="3">
        <f>B6*BaseMVA/$B4</f>
        <v>2.6041666666666665E-3</v>
      </c>
      <c r="C7" s="3">
        <f>C6*BaseMVA/$B4</f>
        <v>2.0833333333333332E-2</v>
      </c>
    </row>
    <row r="9" spans="1:3" x14ac:dyDescent="0.35">
      <c r="A9" s="8" t="s">
        <v>25</v>
      </c>
    </row>
    <row r="10" spans="1:3" x14ac:dyDescent="0.35">
      <c r="A10" t="s">
        <v>21</v>
      </c>
      <c r="B10">
        <v>120</v>
      </c>
    </row>
    <row r="11" spans="1:3" x14ac:dyDescent="0.35">
      <c r="B11" s="6" t="s">
        <v>19</v>
      </c>
      <c r="C11" s="6" t="s">
        <v>20</v>
      </c>
    </row>
    <row r="12" spans="1:3" x14ac:dyDescent="0.35">
      <c r="A12" t="s">
        <v>18</v>
      </c>
      <c r="B12" s="3">
        <f>C12/XfmrXR</f>
        <v>0.01</v>
      </c>
      <c r="C12" s="7">
        <v>0.08</v>
      </c>
    </row>
    <row r="13" spans="1:3" x14ac:dyDescent="0.35">
      <c r="A13" t="s">
        <v>24</v>
      </c>
      <c r="B13" s="3">
        <f>B12*BaseMVA/$B10</f>
        <v>8.3333333333333332E-3</v>
      </c>
      <c r="C13" s="3">
        <f>C12*BaseMVA/$B10</f>
        <v>6.6666666666666666E-2</v>
      </c>
    </row>
    <row r="15" spans="1:3" x14ac:dyDescent="0.35">
      <c r="A15" s="8" t="s">
        <v>26</v>
      </c>
      <c r="B15" t="s">
        <v>30</v>
      </c>
      <c r="C15" s="8" t="s">
        <v>31</v>
      </c>
    </row>
    <row r="16" spans="1:3" x14ac:dyDescent="0.35">
      <c r="A16" t="s">
        <v>28</v>
      </c>
      <c r="B16">
        <v>0.01</v>
      </c>
      <c r="C16">
        <f>B16*BaseMVA/IBRMVA</f>
        <v>0.01</v>
      </c>
    </row>
    <row r="17" spans="1:3" x14ac:dyDescent="0.35">
      <c r="A17" t="s">
        <v>27</v>
      </c>
      <c r="B17">
        <v>0.04</v>
      </c>
      <c r="C17">
        <f>B17*BaseMVA/IBRMVA</f>
        <v>0.04</v>
      </c>
    </row>
    <row r="18" spans="1:3" x14ac:dyDescent="0.35">
      <c r="A18" t="s">
        <v>29</v>
      </c>
      <c r="B18">
        <v>0.08</v>
      </c>
      <c r="C18">
        <f>B18*IBRMVA/BaseMVA</f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GridSide</vt:lpstr>
      <vt:lpstr>Collector</vt:lpstr>
      <vt:lpstr>BaseMVA</vt:lpstr>
      <vt:lpstr>GridKV</vt:lpstr>
      <vt:lpstr>GridX</vt:lpstr>
      <vt:lpstr>GridXR</vt:lpstr>
      <vt:lpstr>IBRMVA</vt:lpstr>
      <vt:lpstr>InfMVA</vt:lpstr>
      <vt:lpstr>InfR</vt:lpstr>
      <vt:lpstr>InfX</vt:lpstr>
      <vt:lpstr>SwitchedXR</vt:lpstr>
      <vt:lpstr>XfmrXR</vt:lpstr>
      <vt:lpstr>Zbase0</vt:lpstr>
      <vt:lpstr>Zbase1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McDermott</dc:creator>
  <cp:lastModifiedBy>Tom McDermott</cp:lastModifiedBy>
  <dcterms:created xsi:type="dcterms:W3CDTF">2026-02-26T21:06:40Z</dcterms:created>
  <dcterms:modified xsi:type="dcterms:W3CDTF">2026-02-26T21:53:28Z</dcterms:modified>
</cp:coreProperties>
</file>