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emthub\atp\data\"/>
    </mc:Choice>
  </mc:AlternateContent>
  <xr:revisionPtr revIDLastSave="0" documentId="13_ncr:1_{52A20E31-FECB-4DF5-A322-4386C0C3FCAB}" xr6:coauthVersionLast="47" xr6:coauthVersionMax="47" xr10:uidLastSave="{00000000-0000-0000-0000-000000000000}"/>
  <bookViews>
    <workbookView xWindow="11610" yWindow="610" windowWidth="19290" windowHeight="20100" xr2:uid="{D4C9EAA4-E750-4561-95D3-6DE12296B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S11" i="1"/>
  <c r="S10" i="1"/>
  <c r="S9" i="1"/>
  <c r="S8" i="1"/>
  <c r="S7" i="1"/>
  <c r="S6" i="1"/>
  <c r="S5" i="1"/>
  <c r="S4" i="1"/>
  <c r="S3" i="1"/>
  <c r="R11" i="1"/>
  <c r="R10" i="1"/>
  <c r="R9" i="1"/>
  <c r="R8" i="1"/>
  <c r="R7" i="1"/>
  <c r="R6" i="1"/>
  <c r="R5" i="1"/>
  <c r="R4" i="1"/>
  <c r="R3" i="1"/>
  <c r="R12" i="1"/>
  <c r="Q12" i="1"/>
  <c r="Q11" i="1"/>
  <c r="Q10" i="1"/>
  <c r="Q9" i="1"/>
  <c r="Q8" i="1"/>
  <c r="Q7" i="1"/>
  <c r="Q6" i="1"/>
  <c r="Q5" i="1"/>
  <c r="Q4" i="1"/>
  <c r="Q3" i="1"/>
  <c r="P12" i="1"/>
  <c r="P11" i="1"/>
  <c r="P10" i="1"/>
  <c r="P9" i="1"/>
  <c r="P8" i="1"/>
  <c r="P7" i="1"/>
  <c r="P6" i="1"/>
  <c r="P5" i="1"/>
  <c r="P4" i="1"/>
  <c r="P3" i="1"/>
</calcChain>
</file>

<file path=xl/sharedStrings.xml><?xml version="1.0" encoding="utf-8"?>
<sst xmlns="http://schemas.openxmlformats.org/spreadsheetml/2006/main" count="34" uniqueCount="26">
  <si>
    <t>Bus</t>
  </si>
  <si>
    <t>kV</t>
  </si>
  <si>
    <t>Vpu</t>
  </si>
  <si>
    <t>Vang</t>
  </si>
  <si>
    <t>Pg</t>
  </si>
  <si>
    <t>Qg</t>
  </si>
  <si>
    <t>Matpower</t>
  </si>
  <si>
    <t>ATP</t>
  </si>
  <si>
    <t>Va</t>
  </si>
  <si>
    <t>GSU</t>
  </si>
  <si>
    <t>MVA</t>
  </si>
  <si>
    <t>R</t>
  </si>
  <si>
    <t>X</t>
  </si>
  <si>
    <t>Shift</t>
  </si>
  <si>
    <t>B32</t>
  </si>
  <si>
    <t>B33</t>
  </si>
  <si>
    <t>B34</t>
  </si>
  <si>
    <t>B35</t>
  </si>
  <si>
    <t>B36</t>
  </si>
  <si>
    <t>B37</t>
  </si>
  <si>
    <t>B38</t>
  </si>
  <si>
    <t>B39</t>
  </si>
  <si>
    <t>B30</t>
  </si>
  <si>
    <t>B31</t>
  </si>
  <si>
    <t>ATP Errors</t>
  </si>
  <si>
    <t>(on 100 MVA)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</si>
</sst>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70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9485-A189-48E7-B832-4A40F53D1F00}">
  <dimension ref="A1:S12"/>
  <sheetViews>
    <sheetView tabSelected="1" topLeftCell="D1" workbookViewId="0">
      <selection activeCell="Q19" sqref="Q19"/>
    </sheetView>
  </sheetViews>
  <sheetFormatPr defaultRowHeight="14.5"/>
  <sheetData>
    <row r="1" spans="1:19">
      <c r="A1" s="1" t="s">
        <v>6</v>
      </c>
      <c r="G1" s="1" t="s">
        <v>7</v>
      </c>
      <c r="L1" s="1" t="s">
        <v>9</v>
      </c>
      <c r="M1" s="7" t="s">
        <v>25</v>
      </c>
      <c r="N1" s="7"/>
      <c r="P1" s="1" t="s">
        <v>24</v>
      </c>
    </row>
    <row r="2" spans="1:19">
      <c r="A2" s="4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0</v>
      </c>
      <c r="H2" s="3" t="s">
        <v>8</v>
      </c>
      <c r="I2" s="3" t="s">
        <v>3</v>
      </c>
      <c r="J2" s="3" t="s">
        <v>4</v>
      </c>
      <c r="K2" s="3" t="s">
        <v>5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3</v>
      </c>
      <c r="Q2" s="3" t="s">
        <v>2</v>
      </c>
      <c r="R2" s="3" t="s">
        <v>4</v>
      </c>
      <c r="S2" s="3" t="s">
        <v>5</v>
      </c>
    </row>
    <row r="3" spans="1:19">
      <c r="A3" s="5">
        <v>30</v>
      </c>
      <c r="B3" s="2">
        <v>22</v>
      </c>
      <c r="C3">
        <v>1</v>
      </c>
      <c r="D3" s="2">
        <v>-2.9839380000000002</v>
      </c>
      <c r="E3" s="2">
        <v>250</v>
      </c>
      <c r="F3" s="2">
        <v>62.139122999999998</v>
      </c>
      <c r="G3" s="4" t="s">
        <v>22</v>
      </c>
      <c r="H3" s="2">
        <v>18497.400000000001</v>
      </c>
      <c r="I3" s="2">
        <v>-6.0545999999999998</v>
      </c>
      <c r="J3" s="2">
        <v>82.28</v>
      </c>
      <c r="K3" s="2">
        <v>183.38</v>
      </c>
      <c r="L3">
        <v>900</v>
      </c>
      <c r="M3">
        <v>0</v>
      </c>
      <c r="N3">
        <v>1.8100000000000002E-2</v>
      </c>
      <c r="O3">
        <v>0</v>
      </c>
      <c r="P3" s="6">
        <f>D3+O3-I3</f>
        <v>3.0706619999999996</v>
      </c>
      <c r="Q3">
        <f>H3*SQRT(1.5)/B3/1000-C3</f>
        <v>2.9754353821762614E-2</v>
      </c>
      <c r="R3" s="8">
        <f t="shared" ref="R3:S11" si="0">J3-E3</f>
        <v>-167.72</v>
      </c>
      <c r="S3" s="8">
        <f t="shared" si="0"/>
        <v>121.240877</v>
      </c>
    </row>
    <row r="4" spans="1:19">
      <c r="A4" s="5">
        <v>31</v>
      </c>
      <c r="B4" s="2">
        <v>22</v>
      </c>
      <c r="C4">
        <v>1</v>
      </c>
      <c r="D4" s="2">
        <v>0</v>
      </c>
      <c r="E4" s="2">
        <v>518.90823699999999</v>
      </c>
      <c r="F4" s="2">
        <v>278.699319</v>
      </c>
      <c r="G4" s="4" t="s">
        <v>23</v>
      </c>
      <c r="H4" s="2">
        <v>17926.07</v>
      </c>
      <c r="I4" s="2">
        <v>-30.2254</v>
      </c>
      <c r="J4" s="2">
        <v>535.61</v>
      </c>
      <c r="K4" s="2">
        <v>284.61</v>
      </c>
      <c r="L4">
        <v>900</v>
      </c>
      <c r="M4">
        <v>0</v>
      </c>
      <c r="N4">
        <v>2.5000000000000001E-2</v>
      </c>
      <c r="O4">
        <v>-30</v>
      </c>
      <c r="P4" s="6">
        <f t="shared" ref="P4:P12" si="1">D4+O4-I4</f>
        <v>0.22540000000000049</v>
      </c>
      <c r="Q4">
        <f t="shared" ref="Q4:Q12" si="2">H4*SQRT(1.5)/B4/1000-C4</f>
        <v>-2.0517137860626145E-3</v>
      </c>
      <c r="R4" s="8">
        <f t="shared" si="0"/>
        <v>16.701763000000028</v>
      </c>
      <c r="S4" s="8">
        <f t="shared" si="0"/>
        <v>5.910681000000011</v>
      </c>
    </row>
    <row r="5" spans="1:19">
      <c r="A5" s="5">
        <v>32</v>
      </c>
      <c r="B5" s="2">
        <v>22</v>
      </c>
      <c r="C5">
        <v>1</v>
      </c>
      <c r="D5" s="2">
        <v>2.590401</v>
      </c>
      <c r="E5" s="2">
        <v>650</v>
      </c>
      <c r="F5" s="2">
        <v>295.14469600000001</v>
      </c>
      <c r="G5" s="4" t="s">
        <v>14</v>
      </c>
      <c r="H5" s="2">
        <v>17963</v>
      </c>
      <c r="I5" s="2">
        <v>-27.41</v>
      </c>
      <c r="J5" s="2">
        <v>686.37</v>
      </c>
      <c r="K5" s="2">
        <v>312.02</v>
      </c>
      <c r="L5">
        <v>900</v>
      </c>
      <c r="M5">
        <v>0</v>
      </c>
      <c r="N5">
        <v>0.02</v>
      </c>
      <c r="O5">
        <v>-30</v>
      </c>
      <c r="P5" s="6">
        <f t="shared" si="1"/>
        <v>4.0100000000009572E-4</v>
      </c>
      <c r="Q5">
        <f t="shared" si="2"/>
        <v>4.1874912324324498E-6</v>
      </c>
      <c r="R5" s="8">
        <f t="shared" si="0"/>
        <v>36.370000000000005</v>
      </c>
      <c r="S5" s="8">
        <f t="shared" si="0"/>
        <v>16.875303999999971</v>
      </c>
    </row>
    <row r="6" spans="1:19">
      <c r="A6" s="5">
        <v>33</v>
      </c>
      <c r="B6" s="2">
        <v>22</v>
      </c>
      <c r="C6">
        <v>1</v>
      </c>
      <c r="D6" s="2">
        <v>4.8850220000000002</v>
      </c>
      <c r="E6" s="2">
        <v>632</v>
      </c>
      <c r="F6" s="2">
        <v>203.760257</v>
      </c>
      <c r="G6" s="4" t="s">
        <v>15</v>
      </c>
      <c r="H6" s="2">
        <v>17963</v>
      </c>
      <c r="I6" s="2">
        <v>-25.11</v>
      </c>
      <c r="J6" s="2">
        <v>663.19</v>
      </c>
      <c r="K6" s="2">
        <v>219.84</v>
      </c>
      <c r="L6">
        <v>900</v>
      </c>
      <c r="M6">
        <v>6.9999999999999999E-4</v>
      </c>
      <c r="N6">
        <v>1.4200000000000001E-2</v>
      </c>
      <c r="O6">
        <v>-30</v>
      </c>
      <c r="P6" s="6">
        <f t="shared" si="1"/>
        <v>-4.9780000000012592E-3</v>
      </c>
      <c r="Q6">
        <f t="shared" si="2"/>
        <v>4.1874912324324498E-6</v>
      </c>
      <c r="R6" s="8">
        <f t="shared" si="0"/>
        <v>31.190000000000055</v>
      </c>
      <c r="S6" s="8">
        <f t="shared" si="0"/>
        <v>16.079743000000008</v>
      </c>
    </row>
    <row r="7" spans="1:19">
      <c r="A7" s="5">
        <v>34</v>
      </c>
      <c r="B7" s="2">
        <v>22</v>
      </c>
      <c r="C7">
        <v>1</v>
      </c>
      <c r="D7" s="2">
        <v>4.1747209999999999</v>
      </c>
      <c r="E7" s="2">
        <v>508</v>
      </c>
      <c r="F7" s="2">
        <v>157.16055399999999</v>
      </c>
      <c r="G7" s="4" t="s">
        <v>16</v>
      </c>
      <c r="H7" s="2">
        <v>17963</v>
      </c>
      <c r="I7" s="2">
        <v>-25.83</v>
      </c>
      <c r="J7" s="2">
        <v>503.89</v>
      </c>
      <c r="K7" s="2">
        <v>164.83</v>
      </c>
      <c r="L7">
        <v>900</v>
      </c>
      <c r="M7">
        <v>8.9999999999999998E-4</v>
      </c>
      <c r="N7">
        <v>1.7999999999999999E-2</v>
      </c>
      <c r="O7">
        <v>-30</v>
      </c>
      <c r="P7" s="6">
        <f t="shared" si="1"/>
        <v>4.7209999999964225E-3</v>
      </c>
      <c r="Q7">
        <f t="shared" si="2"/>
        <v>4.1874912324324498E-6</v>
      </c>
      <c r="R7" s="8">
        <f t="shared" si="0"/>
        <v>-4.1100000000000136</v>
      </c>
      <c r="S7" s="8">
        <f t="shared" si="0"/>
        <v>7.669446000000022</v>
      </c>
    </row>
    <row r="8" spans="1:19">
      <c r="A8" s="5">
        <v>35</v>
      </c>
      <c r="B8" s="2">
        <v>22</v>
      </c>
      <c r="C8">
        <v>1</v>
      </c>
      <c r="D8" s="2">
        <v>7.0260449999999999</v>
      </c>
      <c r="E8" s="2">
        <v>650</v>
      </c>
      <c r="F8" s="2">
        <v>172.24838299999999</v>
      </c>
      <c r="G8" s="4" t="s">
        <v>17</v>
      </c>
      <c r="H8" s="2">
        <v>17963</v>
      </c>
      <c r="I8" s="2">
        <v>-22.97</v>
      </c>
      <c r="J8" s="2">
        <v>665.62</v>
      </c>
      <c r="K8" s="2">
        <v>180.32</v>
      </c>
      <c r="L8">
        <v>900</v>
      </c>
      <c r="M8">
        <v>0</v>
      </c>
      <c r="N8">
        <v>1.43E-2</v>
      </c>
      <c r="O8">
        <v>-30</v>
      </c>
      <c r="P8" s="6">
        <f t="shared" si="1"/>
        <v>-3.9550000000012631E-3</v>
      </c>
      <c r="Q8">
        <f t="shared" si="2"/>
        <v>4.1874912324324498E-6</v>
      </c>
      <c r="R8" s="8">
        <f t="shared" si="0"/>
        <v>15.620000000000005</v>
      </c>
      <c r="S8" s="8">
        <f t="shared" si="0"/>
        <v>8.0716170000000034</v>
      </c>
    </row>
    <row r="9" spans="1:19">
      <c r="A9" s="5">
        <v>36</v>
      </c>
      <c r="B9" s="2">
        <v>22</v>
      </c>
      <c r="C9">
        <v>1</v>
      </c>
      <c r="D9" s="2">
        <v>10.14603</v>
      </c>
      <c r="E9" s="2">
        <v>560</v>
      </c>
      <c r="F9" s="2">
        <v>43.072665999999998</v>
      </c>
      <c r="G9" s="4" t="s">
        <v>18</v>
      </c>
      <c r="H9" s="2">
        <v>17963</v>
      </c>
      <c r="I9" s="2">
        <v>-19.850000000000001</v>
      </c>
      <c r="J9" s="2">
        <v>561.71</v>
      </c>
      <c r="K9" s="2">
        <v>47.9</v>
      </c>
      <c r="L9">
        <v>900</v>
      </c>
      <c r="M9">
        <v>5.0000000000000001E-4</v>
      </c>
      <c r="N9">
        <v>2.7199999999999998E-2</v>
      </c>
      <c r="O9">
        <v>-30</v>
      </c>
      <c r="P9" s="6">
        <f t="shared" si="1"/>
        <v>-3.9699999999989188E-3</v>
      </c>
      <c r="Q9">
        <f t="shared" si="2"/>
        <v>4.1874912324324498E-6</v>
      </c>
      <c r="R9" s="8">
        <f t="shared" si="0"/>
        <v>1.7100000000000364</v>
      </c>
      <c r="S9" s="8">
        <f t="shared" si="0"/>
        <v>4.8273340000000005</v>
      </c>
    </row>
    <row r="10" spans="1:19">
      <c r="A10" s="5">
        <v>37</v>
      </c>
      <c r="B10" s="2">
        <v>22</v>
      </c>
      <c r="C10">
        <v>1</v>
      </c>
      <c r="D10" s="2">
        <v>2.9055900000000001</v>
      </c>
      <c r="E10" s="2">
        <v>540</v>
      </c>
      <c r="F10" s="2">
        <v>22.971537000000001</v>
      </c>
      <c r="G10" s="4" t="s">
        <v>19</v>
      </c>
      <c r="H10" s="2">
        <v>17963</v>
      </c>
      <c r="I10" s="2">
        <v>-27.09</v>
      </c>
      <c r="J10" s="2">
        <v>608.19000000000005</v>
      </c>
      <c r="K10" s="2">
        <v>-4.2050000000000001</v>
      </c>
      <c r="L10">
        <v>900</v>
      </c>
      <c r="M10">
        <v>5.9999999999999995E-4</v>
      </c>
      <c r="N10">
        <v>2.3199999999999998E-2</v>
      </c>
      <c r="O10">
        <v>-30</v>
      </c>
      <c r="P10" s="6">
        <f t="shared" si="1"/>
        <v>-4.410000000000025E-3</v>
      </c>
      <c r="Q10">
        <f t="shared" si="2"/>
        <v>4.1874912324324498E-6</v>
      </c>
      <c r="R10" s="8">
        <f t="shared" si="0"/>
        <v>68.190000000000055</v>
      </c>
      <c r="S10" s="8">
        <f t="shared" si="0"/>
        <v>-27.176537000000003</v>
      </c>
    </row>
    <row r="11" spans="1:19">
      <c r="A11" s="5">
        <v>38</v>
      </c>
      <c r="B11" s="2">
        <v>22</v>
      </c>
      <c r="C11">
        <v>1</v>
      </c>
      <c r="D11" s="2">
        <v>8.0927349999999993</v>
      </c>
      <c r="E11" s="2">
        <v>830</v>
      </c>
      <c r="F11" s="2">
        <v>42.670867000000001</v>
      </c>
      <c r="G11" s="4" t="s">
        <v>20</v>
      </c>
      <c r="H11" s="2">
        <v>17963</v>
      </c>
      <c r="I11" s="2">
        <v>-21.91</v>
      </c>
      <c r="J11" s="2">
        <v>852.18</v>
      </c>
      <c r="K11" s="2">
        <v>47.22</v>
      </c>
      <c r="L11">
        <v>1200</v>
      </c>
      <c r="M11">
        <v>8.0000000000000004E-4</v>
      </c>
      <c r="N11">
        <v>1.5599999999999999E-2</v>
      </c>
      <c r="O11">
        <v>-30</v>
      </c>
      <c r="P11" s="6">
        <f t="shared" si="1"/>
        <v>2.7349999999977115E-3</v>
      </c>
      <c r="Q11">
        <f t="shared" si="2"/>
        <v>4.1874912324324498E-6</v>
      </c>
      <c r="R11" s="8">
        <f t="shared" si="0"/>
        <v>22.17999999999995</v>
      </c>
      <c r="S11" s="8">
        <f t="shared" si="0"/>
        <v>4.5491329999999977</v>
      </c>
    </row>
    <row r="12" spans="1:19">
      <c r="A12" s="5">
        <v>39</v>
      </c>
      <c r="B12" s="2">
        <v>345</v>
      </c>
      <c r="C12">
        <v>1</v>
      </c>
      <c r="D12" s="2">
        <v>-9.9751619999999992</v>
      </c>
      <c r="E12" s="2">
        <v>1000</v>
      </c>
      <c r="F12" s="2">
        <v>65.291253999999995</v>
      </c>
      <c r="G12" s="4" t="s">
        <v>21</v>
      </c>
      <c r="H12" s="2">
        <v>281690</v>
      </c>
      <c r="I12" s="2">
        <v>-9.9749999999999996</v>
      </c>
      <c r="J12" s="2">
        <v>1032.3499999999999</v>
      </c>
      <c r="K12" s="2">
        <v>33.74</v>
      </c>
      <c r="O12">
        <v>0</v>
      </c>
      <c r="P12" s="6">
        <f t="shared" si="1"/>
        <v>-1.6199999999955139E-4</v>
      </c>
      <c r="Q12">
        <f t="shared" si="2"/>
        <v>-4.6874716037592634E-6</v>
      </c>
      <c r="R12" s="8">
        <f>J12-E12</f>
        <v>32.349999999999909</v>
      </c>
      <c r="S12" s="8">
        <f>K12-F12</f>
        <v>-31.551253999999993</v>
      </c>
    </row>
  </sheetData>
  <mergeCells count="1">
    <mergeCell ref="M1:N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McDermott</dc:creator>
  <cp:lastModifiedBy>Tom McDermott</cp:lastModifiedBy>
  <dcterms:created xsi:type="dcterms:W3CDTF">2026-02-05T19:56:47Z</dcterms:created>
  <dcterms:modified xsi:type="dcterms:W3CDTF">2026-02-05T21:48:42Z</dcterms:modified>
</cp:coreProperties>
</file>